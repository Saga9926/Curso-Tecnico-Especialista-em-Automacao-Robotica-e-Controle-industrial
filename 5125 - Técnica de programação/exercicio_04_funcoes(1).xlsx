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ropbox\2023\profissional\2309_RibadaveDig\Excel\"/>
    </mc:Choice>
  </mc:AlternateContent>
  <xr:revisionPtr revIDLastSave="0" documentId="8_{CBD0B474-9445-4903-BB3E-9A201FC785CA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funções_base" sheetId="1" r:id="rId1"/>
    <sheet name="Folha1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4" i="1" l="1"/>
  <c r="F12" i="1"/>
  <c r="F13" i="1"/>
  <c r="F11" i="1"/>
  <c r="E11" i="1"/>
  <c r="F49" i="1"/>
  <c r="G50" i="1"/>
  <c r="G51" i="1"/>
  <c r="G52" i="1"/>
  <c r="G53" i="1"/>
  <c r="G54" i="1"/>
  <c r="G49" i="1"/>
  <c r="F50" i="1"/>
  <c r="F51" i="1"/>
  <c r="F52" i="1"/>
  <c r="F53" i="1"/>
  <c r="F54" i="1"/>
  <c r="C50" i="1"/>
  <c r="C51" i="1"/>
  <c r="C52" i="1"/>
  <c r="C53" i="1"/>
  <c r="C54" i="1"/>
  <c r="C49" i="1"/>
  <c r="E12" i="1"/>
  <c r="E13" i="1"/>
  <c r="E14" i="1"/>
  <c r="D12" i="1"/>
  <c r="D13" i="1"/>
  <c r="D14" i="1"/>
  <c r="D11" i="1"/>
  <c r="C12" i="1"/>
  <c r="C13" i="1"/>
  <c r="C14" i="1"/>
  <c r="C11" i="1"/>
  <c r="B12" i="1"/>
  <c r="B13" i="1"/>
  <c r="B14" i="1"/>
  <c r="B11" i="1"/>
  <c r="G26" i="1"/>
  <c r="G27" i="1"/>
  <c r="G28" i="1"/>
  <c r="G29" i="1"/>
  <c r="G30" i="1"/>
  <c r="G25" i="1"/>
  <c r="F26" i="1"/>
  <c r="F27" i="1"/>
  <c r="F28" i="1"/>
  <c r="F29" i="1"/>
  <c r="F30" i="1"/>
  <c r="F25" i="1"/>
  <c r="C26" i="1"/>
  <c r="C27" i="1"/>
  <c r="C28" i="1"/>
  <c r="C29" i="1"/>
  <c r="C30" i="1"/>
  <c r="C25" i="1"/>
  <c r="D19" i="1"/>
  <c r="D20" i="1"/>
  <c r="D21" i="1"/>
  <c r="D18" i="1"/>
  <c r="C19" i="1"/>
  <c r="C20" i="1"/>
  <c r="C21" i="1"/>
  <c r="C18" i="1"/>
  <c r="B3" i="2"/>
</calcChain>
</file>

<file path=xl/sharedStrings.xml><?xml version="1.0" encoding="utf-8"?>
<sst xmlns="http://schemas.openxmlformats.org/spreadsheetml/2006/main" count="83" uniqueCount="60">
  <si>
    <t>Acidentes Rodoviários</t>
  </si>
  <si>
    <t>Distrito</t>
  </si>
  <si>
    <t>1º trimestre</t>
  </si>
  <si>
    <t>2º trimestre</t>
  </si>
  <si>
    <t>3º trimestre</t>
  </si>
  <si>
    <t>4º trimestre</t>
  </si>
  <si>
    <t>Braga</t>
  </si>
  <si>
    <t>Porto</t>
  </si>
  <si>
    <t>Coimbra</t>
  </si>
  <si>
    <t>Lisboa</t>
  </si>
  <si>
    <t>Estatísticas</t>
  </si>
  <si>
    <t>Mínimo</t>
  </si>
  <si>
    <t>Máximo</t>
  </si>
  <si>
    <t>Média</t>
  </si>
  <si>
    <t>Total</t>
  </si>
  <si>
    <t>% Total</t>
  </si>
  <si>
    <t>Eventos marcantes</t>
  </si>
  <si>
    <t>Acontecimento</t>
  </si>
  <si>
    <t>Data</t>
  </si>
  <si>
    <t>Ano</t>
  </si>
  <si>
    <t>Dia da semana</t>
  </si>
  <si>
    <t>Quantos aniversários se comemoram este ano?</t>
  </si>
  <si>
    <t>Implantação da República PT</t>
  </si>
  <si>
    <t>25 de Abril</t>
  </si>
  <si>
    <t>11 de Setembro</t>
  </si>
  <si>
    <t>Uma data à escolha</t>
  </si>
  <si>
    <t>Turma Excel (aprovado se média dos testes não for inferior a 9,5)</t>
  </si>
  <si>
    <t>Primeiro nome</t>
  </si>
  <si>
    <t>Último nome</t>
  </si>
  <si>
    <t>Nome completo*</t>
  </si>
  <si>
    <t>Nota teste 1</t>
  </si>
  <si>
    <t>Nota teste2</t>
  </si>
  <si>
    <t>Resultado (aprov/rep)</t>
  </si>
  <si>
    <t>Augusto</t>
  </si>
  <si>
    <t>Oliveira</t>
  </si>
  <si>
    <t>Helena</t>
  </si>
  <si>
    <t>Cunha</t>
  </si>
  <si>
    <t>João Manuel</t>
  </si>
  <si>
    <t>Rosa</t>
  </si>
  <si>
    <t>Luis Manuel</t>
  </si>
  <si>
    <t>Leitão</t>
  </si>
  <si>
    <t>Maria Adelaide</t>
  </si>
  <si>
    <t>Abreu</t>
  </si>
  <si>
    <t>Rita</t>
  </si>
  <si>
    <t>Alves</t>
  </si>
  <si>
    <t>* utilizar o operador "&amp;"</t>
  </si>
  <si>
    <t>Nº de alunos:</t>
  </si>
  <si>
    <t>BragaPizza</t>
  </si>
  <si>
    <t>Tipos de Pizza</t>
  </si>
  <si>
    <t>Diâmetro</t>
  </si>
  <si>
    <t>Perímetro</t>
  </si>
  <si>
    <t>Área</t>
  </si>
  <si>
    <t>Pequena</t>
  </si>
  <si>
    <t>Grande</t>
  </si>
  <si>
    <t>Pelo mesmo valor é preferível comprar duas médias ou uma grande?</t>
  </si>
  <si>
    <t>Turma Electrónica (aprovado se a nota não for inferior a 9,5 a qualquer dos módulos)</t>
  </si>
  <si>
    <t>Nota Mód 1 (40hrs)</t>
  </si>
  <si>
    <t>Nota Mód 2 (60 hrs)</t>
  </si>
  <si>
    <t>Média ponderada</t>
  </si>
  <si>
    <t>* utilizar função "concat"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</si>
</sst>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0" xfId="0" applyAlignment="1">
      <alignment horizontal="center"/>
    </xf>
    <xf numFmtId="14" fontId="0" fillId="0" borderId="1" xfId="0" applyNumberFormat="1" applyBorder="1"/>
    <xf numFmtId="0" fontId="0" fillId="0" borderId="0" xfId="0" applyAlignment="1">
      <alignment horizontal="center" wrapText="1"/>
    </xf>
    <xf numFmtId="164" fontId="0" fillId="0" borderId="1" xfId="0" applyNumberFormat="1" applyBorder="1"/>
    <xf numFmtId="0" fontId="0" fillId="2" borderId="1" xfId="0" applyFill="1" applyBorder="1" applyAlignment="1">
      <alignment horizontal="center"/>
    </xf>
    <xf numFmtId="0" fontId="0" fillId="0" borderId="2" xfId="0" applyBorder="1"/>
    <xf numFmtId="10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56"/>
  <sheetViews>
    <sheetView tabSelected="1" zoomScale="150" zoomScaleNormal="150" workbookViewId="0">
      <selection activeCell="E19" sqref="E19"/>
    </sheetView>
  </sheetViews>
  <sheetFormatPr defaultColWidth="8.7109375" defaultRowHeight="15"/>
  <cols>
    <col min="1" max="1" width="31.85546875" customWidth="1"/>
    <col min="2" max="2" width="10.5703125" customWidth="1"/>
    <col min="3" max="3" width="20.42578125" bestFit="1" customWidth="1"/>
    <col min="4" max="4" width="13.140625" customWidth="1"/>
    <col min="5" max="5" width="13.7109375" customWidth="1"/>
    <col min="6" max="6" width="14.42578125" customWidth="1"/>
    <col min="7" max="7" width="11.42578125" customWidth="1"/>
  </cols>
  <sheetData>
    <row r="2" spans="1:6">
      <c r="A2" t="s">
        <v>0</v>
      </c>
    </row>
    <row r="3" spans="1:6" ht="26.8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6" ht="26.85" customHeight="1">
      <c r="A4" s="1" t="s">
        <v>6</v>
      </c>
      <c r="B4" s="1">
        <v>500</v>
      </c>
      <c r="C4" s="1">
        <v>250</v>
      </c>
      <c r="D4" s="1">
        <v>320</v>
      </c>
      <c r="E4" s="1">
        <v>440</v>
      </c>
    </row>
    <row r="5" spans="1:6" ht="26.85" customHeight="1">
      <c r="A5" s="1" t="s">
        <v>7</v>
      </c>
      <c r="B5" s="1">
        <v>450</v>
      </c>
      <c r="C5" s="1">
        <v>300</v>
      </c>
      <c r="D5" s="1">
        <v>270</v>
      </c>
      <c r="E5" s="1">
        <v>480</v>
      </c>
    </row>
    <row r="6" spans="1:6" ht="26.85" customHeight="1">
      <c r="A6" s="1" t="s">
        <v>8</v>
      </c>
      <c r="B6" s="1">
        <v>300</v>
      </c>
      <c r="C6" s="1">
        <v>700</v>
      </c>
      <c r="D6" s="1">
        <v>400</v>
      </c>
      <c r="E6" s="1">
        <v>270</v>
      </c>
    </row>
    <row r="7" spans="1:6" ht="26.85" customHeight="1">
      <c r="A7" s="1" t="s">
        <v>9</v>
      </c>
      <c r="B7" s="1">
        <v>700</v>
      </c>
      <c r="C7" s="1">
        <v>500</v>
      </c>
      <c r="D7" s="1">
        <v>450</v>
      </c>
      <c r="E7" s="1">
        <v>800</v>
      </c>
    </row>
    <row r="9" spans="1:6">
      <c r="A9" t="s">
        <v>10</v>
      </c>
    </row>
    <row r="10" spans="1:6">
      <c r="A10" s="1" t="s">
        <v>1</v>
      </c>
      <c r="B10" s="1" t="s">
        <v>11</v>
      </c>
      <c r="C10" s="1" t="s">
        <v>12</v>
      </c>
      <c r="D10" s="1" t="s">
        <v>13</v>
      </c>
      <c r="E10" s="1" t="s">
        <v>14</v>
      </c>
      <c r="F10" s="1" t="s">
        <v>15</v>
      </c>
    </row>
    <row r="11" spans="1:6">
      <c r="A11" s="1" t="s">
        <v>6</v>
      </c>
      <c r="B11" s="1">
        <f>MIN(B4:E4)</f>
        <v>250</v>
      </c>
      <c r="C11" s="1">
        <f>MAX(B4:E4)</f>
        <v>500</v>
      </c>
      <c r="D11" s="1">
        <f>AVERAGE(B11:C11)</f>
        <v>375</v>
      </c>
      <c r="E11" s="1">
        <f>SUM(B4:E4)</f>
        <v>1510</v>
      </c>
      <c r="F11" s="10">
        <f>B11/$E$11</f>
        <v>0.16556291390728478</v>
      </c>
    </row>
    <row r="12" spans="1:6">
      <c r="A12" s="1" t="s">
        <v>7</v>
      </c>
      <c r="B12" s="1">
        <f t="shared" ref="B12:B14" si="0">MIN(B5:E5)</f>
        <v>270</v>
      </c>
      <c r="C12" s="1">
        <f t="shared" ref="C12:C14" si="1">MAX(B5:E5)</f>
        <v>480</v>
      </c>
      <c r="D12" s="1">
        <f t="shared" ref="D12:D14" si="2">AVERAGE(B12:C12)</f>
        <v>375</v>
      </c>
      <c r="E12" s="1">
        <f t="shared" ref="E12:F14" si="3">SUM(B5:E5)</f>
        <v>1500</v>
      </c>
      <c r="F12" s="10">
        <f>B12/$E$12</f>
        <v>0.18</v>
      </c>
    </row>
    <row r="13" spans="1:6">
      <c r="A13" s="1" t="s">
        <v>8</v>
      </c>
      <c r="B13" s="1">
        <f t="shared" si="0"/>
        <v>270</v>
      </c>
      <c r="C13" s="1">
        <f t="shared" si="1"/>
        <v>700</v>
      </c>
      <c r="D13" s="1">
        <f t="shared" si="2"/>
        <v>485</v>
      </c>
      <c r="E13" s="1">
        <f t="shared" si="3"/>
        <v>1670</v>
      </c>
      <c r="F13" s="10">
        <f>B13/$E$13</f>
        <v>0.16167664670658682</v>
      </c>
    </row>
    <row r="14" spans="1:6">
      <c r="A14" s="1" t="s">
        <v>9</v>
      </c>
      <c r="B14" s="1">
        <f t="shared" si="0"/>
        <v>450</v>
      </c>
      <c r="C14" s="1">
        <f t="shared" si="1"/>
        <v>800</v>
      </c>
      <c r="D14" s="1">
        <f t="shared" si="2"/>
        <v>625</v>
      </c>
      <c r="E14" s="1">
        <f t="shared" si="3"/>
        <v>2450</v>
      </c>
      <c r="F14" s="10">
        <f>B14/$E$14</f>
        <v>0.18367346938775511</v>
      </c>
    </row>
    <row r="16" spans="1:6">
      <c r="A16" t="s">
        <v>16</v>
      </c>
    </row>
    <row r="17" spans="1:7" s="4" customFormat="1" ht="58.9" customHeight="1">
      <c r="A17" s="2" t="s">
        <v>17</v>
      </c>
      <c r="B17" s="2" t="s">
        <v>18</v>
      </c>
      <c r="C17" s="2" t="s">
        <v>19</v>
      </c>
      <c r="D17" s="3" t="s">
        <v>20</v>
      </c>
      <c r="E17" s="3" t="s">
        <v>21</v>
      </c>
    </row>
    <row r="18" spans="1:7">
      <c r="A18" s="1" t="s">
        <v>22</v>
      </c>
      <c r="B18" s="5">
        <v>3931</v>
      </c>
      <c r="C18" s="1">
        <f>YEAR(B18)</f>
        <v>1910</v>
      </c>
      <c r="D18" s="1" t="str">
        <f>TEXT(B18,"dddd")</f>
        <v>quarta-feira</v>
      </c>
      <c r="E18" s="5"/>
    </row>
    <row r="19" spans="1:7">
      <c r="A19" s="1" t="s">
        <v>23</v>
      </c>
      <c r="B19" s="5">
        <v>27144</v>
      </c>
      <c r="C19" s="1">
        <f t="shared" ref="C19:C21" si="4">YEAR(B19)</f>
        <v>1974</v>
      </c>
      <c r="D19" s="1" t="str">
        <f t="shared" ref="D19:D21" si="5">TEXT(B19,"dddd")</f>
        <v>quinta-feira</v>
      </c>
      <c r="E19" s="1"/>
    </row>
    <row r="20" spans="1:7">
      <c r="A20" s="1" t="s">
        <v>24</v>
      </c>
      <c r="B20" s="5">
        <v>37145</v>
      </c>
      <c r="C20" s="1">
        <f t="shared" si="4"/>
        <v>2001</v>
      </c>
      <c r="D20" s="1" t="str">
        <f t="shared" si="5"/>
        <v>terça-feira</v>
      </c>
      <c r="E20" s="1"/>
    </row>
    <row r="21" spans="1:7">
      <c r="A21" s="1" t="s">
        <v>25</v>
      </c>
      <c r="B21" s="5">
        <v>24596</v>
      </c>
      <c r="C21" s="1">
        <f t="shared" si="4"/>
        <v>1967</v>
      </c>
      <c r="D21" s="1" t="str">
        <f t="shared" si="5"/>
        <v>quinta-feira</v>
      </c>
      <c r="E21" s="1"/>
    </row>
    <row r="23" spans="1:7">
      <c r="A23" t="s">
        <v>26</v>
      </c>
    </row>
    <row r="24" spans="1:7" s="6" customFormat="1" ht="27.75" customHeight="1">
      <c r="A24" s="3" t="s">
        <v>27</v>
      </c>
      <c r="B24" s="3" t="s">
        <v>28</v>
      </c>
      <c r="C24" s="3" t="s">
        <v>29</v>
      </c>
      <c r="D24" s="3" t="s">
        <v>30</v>
      </c>
      <c r="E24" s="3" t="s">
        <v>31</v>
      </c>
      <c r="F24" s="3" t="s">
        <v>13</v>
      </c>
      <c r="G24" s="3" t="s">
        <v>32</v>
      </c>
    </row>
    <row r="25" spans="1:7">
      <c r="A25" s="1" t="s">
        <v>33</v>
      </c>
      <c r="B25" s="1" t="s">
        <v>34</v>
      </c>
      <c r="C25" s="1" t="str">
        <f>_xlfn.CONCAT(A25," ",B25)</f>
        <v>Augusto Oliveira</v>
      </c>
      <c r="D25" s="1">
        <v>12</v>
      </c>
      <c r="E25" s="1">
        <v>13.6</v>
      </c>
      <c r="F25" s="1">
        <f>MEDIAN(D25:E25)</f>
        <v>12.8</v>
      </c>
      <c r="G25" s="1" t="str">
        <f>IF(F25&gt;=9.5,"aprovado","reprovado")</f>
        <v>aprovado</v>
      </c>
    </row>
    <row r="26" spans="1:7">
      <c r="A26" s="1" t="s">
        <v>35</v>
      </c>
      <c r="B26" s="1" t="s">
        <v>36</v>
      </c>
      <c r="C26" s="1" t="str">
        <f t="shared" ref="C26:C30" si="6">_xlfn.CONCAT(A26," ",B26)</f>
        <v>Helena Cunha</v>
      </c>
      <c r="D26" s="1">
        <v>14.1</v>
      </c>
      <c r="E26" s="1">
        <v>16</v>
      </c>
      <c r="F26" s="1">
        <f t="shared" ref="F26:F30" si="7">MEDIAN(D26:E26)</f>
        <v>15.05</v>
      </c>
      <c r="G26" s="1" t="str">
        <f t="shared" ref="G26:G30" si="8">IF(F26&gt;=9.5,"aprovado","reprovado")</f>
        <v>aprovado</v>
      </c>
    </row>
    <row r="27" spans="1:7">
      <c r="A27" s="1" t="s">
        <v>37</v>
      </c>
      <c r="B27" s="1" t="s">
        <v>38</v>
      </c>
      <c r="C27" s="1" t="str">
        <f t="shared" si="6"/>
        <v>João Manuel Rosa</v>
      </c>
      <c r="D27" s="1">
        <v>8.6</v>
      </c>
      <c r="E27" s="1">
        <v>7.4</v>
      </c>
      <c r="F27" s="1">
        <f t="shared" si="7"/>
        <v>8</v>
      </c>
      <c r="G27" s="1" t="str">
        <f t="shared" si="8"/>
        <v>reprovado</v>
      </c>
    </row>
    <row r="28" spans="1:7">
      <c r="A28" s="1" t="s">
        <v>39</v>
      </c>
      <c r="B28" s="1" t="s">
        <v>40</v>
      </c>
      <c r="C28" s="1" t="str">
        <f t="shared" si="6"/>
        <v>Luis Manuel Leitão</v>
      </c>
      <c r="D28" s="1">
        <v>8.8000000000000007</v>
      </c>
      <c r="E28" s="1">
        <v>10.199999999999999</v>
      </c>
      <c r="F28" s="1">
        <f t="shared" si="7"/>
        <v>9.5</v>
      </c>
      <c r="G28" s="1" t="str">
        <f t="shared" si="8"/>
        <v>aprovado</v>
      </c>
    </row>
    <row r="29" spans="1:7">
      <c r="A29" s="1" t="s">
        <v>41</v>
      </c>
      <c r="B29" s="1" t="s">
        <v>42</v>
      </c>
      <c r="C29" s="1" t="str">
        <f t="shared" si="6"/>
        <v>Maria Adelaide Abreu</v>
      </c>
      <c r="D29" s="1">
        <v>7.9</v>
      </c>
      <c r="E29" s="1">
        <v>6.5</v>
      </c>
      <c r="F29" s="1">
        <f t="shared" si="7"/>
        <v>7.2</v>
      </c>
      <c r="G29" s="1" t="str">
        <f t="shared" si="8"/>
        <v>reprovado</v>
      </c>
    </row>
    <row r="30" spans="1:7">
      <c r="A30" s="1" t="s">
        <v>43</v>
      </c>
      <c r="B30" s="1" t="s">
        <v>44</v>
      </c>
      <c r="C30" s="1" t="str">
        <f t="shared" si="6"/>
        <v>Rita Alves</v>
      </c>
      <c r="D30" s="1">
        <v>16</v>
      </c>
      <c r="E30" s="1">
        <v>14</v>
      </c>
      <c r="F30" s="1">
        <f t="shared" si="7"/>
        <v>15</v>
      </c>
      <c r="G30" s="1" t="str">
        <f t="shared" si="8"/>
        <v>aprovado</v>
      </c>
    </row>
    <row r="31" spans="1:7">
      <c r="A31" t="s">
        <v>45</v>
      </c>
    </row>
    <row r="32" spans="1:7">
      <c r="A32" t="s">
        <v>46</v>
      </c>
      <c r="B32" s="1"/>
    </row>
    <row r="37" spans="1:7">
      <c r="A37" t="s">
        <v>47</v>
      </c>
    </row>
    <row r="38" spans="1:7">
      <c r="A38" s="1" t="s">
        <v>48</v>
      </c>
      <c r="B38" s="1" t="s">
        <v>49</v>
      </c>
      <c r="C38" s="1" t="s">
        <v>50</v>
      </c>
      <c r="D38" s="1" t="s">
        <v>51</v>
      </c>
    </row>
    <row r="39" spans="1:7">
      <c r="A39" s="1" t="s">
        <v>52</v>
      </c>
      <c r="B39" s="1">
        <v>20</v>
      </c>
      <c r="C39" s="7"/>
      <c r="D39" s="7"/>
    </row>
    <row r="40" spans="1:7">
      <c r="A40" s="1" t="s">
        <v>13</v>
      </c>
      <c r="B40" s="1">
        <v>35</v>
      </c>
      <c r="C40" s="7"/>
      <c r="D40" s="7"/>
    </row>
    <row r="41" spans="1:7">
      <c r="A41" s="1" t="s">
        <v>53</v>
      </c>
      <c r="B41" s="1">
        <v>50</v>
      </c>
      <c r="C41" s="7"/>
      <c r="D41" s="7"/>
    </row>
    <row r="43" spans="1:7">
      <c r="A43" t="s">
        <v>54</v>
      </c>
      <c r="E43" s="8"/>
    </row>
    <row r="47" spans="1:7">
      <c r="A47" t="s">
        <v>55</v>
      </c>
    </row>
    <row r="48" spans="1:7" s="6" customFormat="1" ht="35.1" customHeight="1">
      <c r="A48" s="3" t="s">
        <v>27</v>
      </c>
      <c r="B48" s="3" t="s">
        <v>28</v>
      </c>
      <c r="C48" s="3" t="s">
        <v>29</v>
      </c>
      <c r="D48" s="3" t="s">
        <v>56</v>
      </c>
      <c r="E48" s="3" t="s">
        <v>57</v>
      </c>
      <c r="F48" s="3" t="s">
        <v>58</v>
      </c>
      <c r="G48" s="3" t="s">
        <v>32</v>
      </c>
    </row>
    <row r="49" spans="1:7">
      <c r="A49" s="1" t="s">
        <v>33</v>
      </c>
      <c r="B49" s="1" t="s">
        <v>34</v>
      </c>
      <c r="C49" s="1" t="str">
        <f>_xlfn.CONCAT(A49," ",B49)</f>
        <v>Augusto Oliveira</v>
      </c>
      <c r="D49" s="1">
        <v>12</v>
      </c>
      <c r="E49" s="1">
        <v>13.6</v>
      </c>
      <c r="F49" s="1">
        <f>MEDIAN(D49:E49)</f>
        <v>12.8</v>
      </c>
      <c r="G49" s="1" t="str">
        <f>IF(F49&gt;=9.5,"aprovado","reprovado")</f>
        <v>aprovado</v>
      </c>
    </row>
    <row r="50" spans="1:7">
      <c r="A50" s="1" t="s">
        <v>35</v>
      </c>
      <c r="B50" s="1" t="s">
        <v>36</v>
      </c>
      <c r="C50" s="1" t="str">
        <f t="shared" ref="C50:C54" si="9">_xlfn.CONCAT(A50," ",B50)</f>
        <v>Helena Cunha</v>
      </c>
      <c r="D50" s="1">
        <v>14.1</v>
      </c>
      <c r="E50" s="1">
        <v>16</v>
      </c>
      <c r="F50" s="1">
        <f t="shared" ref="F50:F54" si="10">MEDIAN(D50:E50)</f>
        <v>15.05</v>
      </c>
      <c r="G50" s="1" t="str">
        <f t="shared" ref="G50:G54" si="11">IF(F50&gt;=9.5,"aprovado","reprovado")</f>
        <v>aprovado</v>
      </c>
    </row>
    <row r="51" spans="1:7">
      <c r="A51" s="1" t="s">
        <v>37</v>
      </c>
      <c r="B51" s="1" t="s">
        <v>38</v>
      </c>
      <c r="C51" s="1" t="str">
        <f t="shared" si="9"/>
        <v>João Manuel Rosa</v>
      </c>
      <c r="D51" s="1">
        <v>8.6</v>
      </c>
      <c r="E51" s="1">
        <v>7.4</v>
      </c>
      <c r="F51" s="1">
        <f t="shared" si="10"/>
        <v>8</v>
      </c>
      <c r="G51" s="1" t="str">
        <f t="shared" si="11"/>
        <v>reprovado</v>
      </c>
    </row>
    <row r="52" spans="1:7">
      <c r="A52" s="1" t="s">
        <v>39</v>
      </c>
      <c r="B52" s="1" t="s">
        <v>40</v>
      </c>
      <c r="C52" s="1" t="str">
        <f t="shared" si="9"/>
        <v>Luis Manuel Leitão</v>
      </c>
      <c r="D52" s="1">
        <v>8.8000000000000007</v>
      </c>
      <c r="E52" s="1">
        <v>10.199999999999999</v>
      </c>
      <c r="F52" s="1">
        <f t="shared" si="10"/>
        <v>9.5</v>
      </c>
      <c r="G52" s="1" t="str">
        <f t="shared" si="11"/>
        <v>aprovado</v>
      </c>
    </row>
    <row r="53" spans="1:7">
      <c r="A53" s="1" t="s">
        <v>41</v>
      </c>
      <c r="B53" s="1" t="s">
        <v>42</v>
      </c>
      <c r="C53" s="1" t="str">
        <f t="shared" si="9"/>
        <v>Maria Adelaide Abreu</v>
      </c>
      <c r="D53" s="1">
        <v>7.9</v>
      </c>
      <c r="E53" s="1">
        <v>6.5</v>
      </c>
      <c r="F53" s="1">
        <f t="shared" si="10"/>
        <v>7.2</v>
      </c>
      <c r="G53" s="1" t="str">
        <f t="shared" si="11"/>
        <v>reprovado</v>
      </c>
    </row>
    <row r="54" spans="1:7">
      <c r="A54" s="1" t="s">
        <v>43</v>
      </c>
      <c r="B54" s="1" t="s">
        <v>44</v>
      </c>
      <c r="C54" s="1" t="str">
        <f t="shared" si="9"/>
        <v>Rita Alves</v>
      </c>
      <c r="D54" s="1">
        <v>16</v>
      </c>
      <c r="E54" s="1">
        <v>14</v>
      </c>
      <c r="F54" s="1">
        <f t="shared" si="10"/>
        <v>15</v>
      </c>
      <c r="G54" s="1" t="str">
        <f t="shared" si="11"/>
        <v>aprovado</v>
      </c>
    </row>
    <row r="55" spans="1:7">
      <c r="A55" s="9" t="s">
        <v>59</v>
      </c>
    </row>
    <row r="56" spans="1:7">
      <c r="B56" s="4"/>
      <c r="C56" s="4"/>
      <c r="D56" s="4"/>
      <c r="E56" s="4"/>
      <c r="F56" s="4"/>
    </row>
  </sheetData>
  <pageMargins left="0.7" right="1.03" top="0.47152777777777799" bottom="0.49236111111111103" header="0.511811023622047" footer="0.511811023622047"/>
  <pageSetup paperSize="9" scale="85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A52A1-6C0F-4119-84D6-B9697B203A84}">
  <dimension ref="A3:B3"/>
  <sheetViews>
    <sheetView topLeftCell="A2" zoomScale="350" zoomScaleNormal="350" workbookViewId="0">
      <selection activeCell="B3" sqref="B3"/>
    </sheetView>
  </sheetViews>
  <sheetFormatPr defaultRowHeight="15"/>
  <cols>
    <col min="1" max="1" width="8.5703125" customWidth="1"/>
    <col min="2" max="2" width="12.7109375" customWidth="1"/>
    <col min="3" max="3" width="13.42578125" customWidth="1"/>
  </cols>
  <sheetData>
    <row r="3" spans="1:2">
      <c r="A3">
        <v>-5</v>
      </c>
      <c r="B3" t="str">
        <f>IF(A3&gt;0,"positivo","negativo")</f>
        <v>negativo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Rui Carvalho</dc:creator>
  <cp:keywords/>
  <dc:description/>
  <cp:lastModifiedBy/>
  <cp:revision>3</cp:revision>
  <dcterms:created xsi:type="dcterms:W3CDTF">2019-03-19T17:49:29Z</dcterms:created>
  <dcterms:modified xsi:type="dcterms:W3CDTF">2025-01-02T23:11:34Z</dcterms:modified>
  <cp:category/>
  <cp:contentStatus/>
</cp:coreProperties>
</file>